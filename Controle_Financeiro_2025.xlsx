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figurações" sheetId="2" state="visible" r:id="rId2"/>
    <sheet name="Lançamentos" sheetId="3" state="visible" r:id="rId3"/>
  </sheets>
  <definedNames>
    <definedName name="_xlnm._FilterDatabase" localSheetId="2" hidden="1">'Lançamentos'!$A$2:$G$20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2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4"/>
    </font>
    <font>
      <name val="Segoe UI"/>
      <b val="1"/>
      <color rgb="0027AE60"/>
      <sz val="10"/>
    </font>
    <font>
      <name val="Segoe UI"/>
      <b val="1"/>
      <color rgb="00D35400"/>
      <sz val="10"/>
    </font>
    <font>
      <name val="Segoe UI"/>
      <b val="1"/>
      <color rgb="00C0392B"/>
      <sz val="10"/>
    </font>
    <font>
      <name val="Segoe UI"/>
      <b val="1"/>
      <color rgb="00E74C3C"/>
      <sz val="10"/>
    </font>
    <font>
      <name val="Segoe UI"/>
      <b val="1"/>
      <color rgb="002980B9"/>
      <sz val="10"/>
    </font>
    <font>
      <name val="Segoe UI"/>
      <b val="1"/>
      <color rgb="008E44AD"/>
      <sz val="10"/>
    </font>
    <font>
      <name val="Segoe UI"/>
      <b val="1"/>
      <color rgb="0016A085"/>
      <sz val="10"/>
    </font>
    <font>
      <name val="Segoe UI"/>
      <b val="1"/>
      <color rgb="002E7D32"/>
      <sz val="10"/>
    </font>
    <font>
      <name val="Segoe UI"/>
      <b val="1"/>
      <color rgb="00922B21"/>
      <sz val="10"/>
    </font>
    <font>
      <name val="Segoe UI"/>
      <b val="1"/>
      <color rgb="00FFFFFF"/>
      <sz val="16"/>
    </font>
    <font>
      <name val="Segoe UI"/>
      <b val="1"/>
      <color rgb="0016365C"/>
      <sz val="12"/>
    </font>
    <font>
      <name val="Segoe UI"/>
      <b val="1"/>
      <color rgb="0016365C"/>
      <sz val="13"/>
    </font>
    <font>
      <name val="Segoe UI"/>
      <b val="1"/>
      <color rgb="001E8449"/>
      <sz val="10"/>
    </font>
    <font>
      <name val="Segoe UI"/>
      <b val="1"/>
      <color rgb="001E8449"/>
      <sz val="16"/>
    </font>
    <font>
      <name val="Segoe UI"/>
      <i val="1"/>
      <color rgb="00566573"/>
      <sz val="8"/>
    </font>
    <font>
      <name val="Segoe UI"/>
      <b val="1"/>
      <color rgb="00C0392B"/>
      <sz val="16"/>
    </font>
    <font>
      <name val="Segoe UI"/>
      <i val="1"/>
      <color rgb="007F8C8D"/>
      <sz val="8"/>
    </font>
    <font>
      <name val="Segoe UI"/>
      <b val="1"/>
      <color rgb="001B4F72"/>
      <sz val="10"/>
    </font>
    <font>
      <name val="Segoe UI"/>
      <b val="1"/>
      <color rgb="001B4F72"/>
      <sz val="14"/>
    </font>
    <font>
      <name val="Segoe UI"/>
      <b val="1"/>
      <color rgb="001E8449"/>
      <sz val="8"/>
    </font>
    <font>
      <name val="Segoe UI"/>
      <b val="1"/>
      <color rgb="006C3483"/>
      <sz val="10"/>
    </font>
    <font>
      <name val="Segoe UI"/>
      <b val="1"/>
      <color rgb="006C3483"/>
      <sz val="16"/>
    </font>
    <font>
      <name val="Segoe UI"/>
      <b val="1"/>
      <color rgb="00FFFFFF"/>
      <sz val="10"/>
    </font>
    <font>
      <name val="Segoe UI"/>
      <b val="1"/>
      <color rgb="0016365C"/>
      <sz val="10"/>
    </font>
  </fonts>
  <fills count="18">
    <fill>
      <patternFill/>
    </fill>
    <fill>
      <patternFill patternType="gray125"/>
    </fill>
    <fill>
      <patternFill patternType="solid">
        <fgColor rgb="0016365C"/>
        <bgColor rgb="0016365C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E8F8F5"/>
        <bgColor rgb="00E8F8F5"/>
      </patternFill>
    </fill>
    <fill>
      <patternFill patternType="solid">
        <fgColor rgb="00F9FBFD"/>
        <bgColor rgb="00F9FBFD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4ECF7"/>
        <bgColor rgb="00F4ECF7"/>
      </patternFill>
    </fill>
    <fill>
      <patternFill patternType="solid">
        <fgColor rgb="00FEF5E7"/>
        <bgColor rgb="00FEF5E7"/>
      </patternFill>
    </fill>
    <fill>
      <patternFill patternType="solid">
        <fgColor rgb="00EAFAF1"/>
        <bgColor rgb="00EAFAF1"/>
      </patternFill>
    </fill>
    <fill>
      <patternFill patternType="solid">
        <fgColor rgb="00FADBD8"/>
        <bgColor rgb="00FADBD8"/>
      </patternFill>
    </fill>
    <fill>
      <patternFill patternType="solid">
        <fgColor rgb="00F4FAF6"/>
        <bgColor rgb="00F4FAF6"/>
      </patternFill>
    </fill>
    <fill>
      <patternFill patternType="solid">
        <fgColor rgb="00FDF4F4"/>
        <bgColor rgb="00FDF4F4"/>
      </patternFill>
    </fill>
    <fill>
      <patternFill patternType="solid">
        <fgColor rgb="00F2F8FD"/>
        <bgColor rgb="00F2F8FD"/>
      </patternFill>
    </fill>
    <fill>
      <patternFill patternType="solid">
        <fgColor rgb="00F9F4FB"/>
        <bgColor rgb="00F9F4FB"/>
      </patternFill>
    </fill>
  </fills>
  <borders count="5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A3D9B5"/>
      </left>
      <top style="thin">
        <color rgb="00A3D9B5"/>
      </top>
    </border>
    <border>
      <right style="thin">
        <color rgb="00A3D9B5"/>
      </right>
      <top style="thin">
        <color rgb="00A3D9B5"/>
      </top>
    </border>
    <border>
      <left style="thin">
        <color rgb="00A3D9B5"/>
      </left>
    </border>
    <border>
      <right style="thin">
        <color rgb="00A3D9B5"/>
      </right>
    </border>
    <border>
      <left style="thin">
        <color rgb="00A3D9B5"/>
      </left>
      <bottom style="thin">
        <color rgb="00A3D9B5"/>
      </bottom>
    </border>
    <border>
      <right style="thin">
        <color rgb="00A3D9B5"/>
      </right>
      <bottom style="thin">
        <color rgb="00A3D9B5"/>
      </bottom>
    </border>
    <border>
      <left style="thin">
        <color rgb="00A3D9B5"/>
      </left>
      <right style="thin">
        <color rgb="00A3D9B5"/>
      </right>
      <top style="thin">
        <color rgb="00A3D9B5"/>
      </top>
    </border>
    <border>
      <left/>
      <right/>
      <top style="thin">
        <color rgb="00A3D9B5"/>
      </top>
      <bottom/>
      <diagonal/>
    </border>
    <border>
      <left/>
      <right style="thin">
        <color rgb="00A3D9B5"/>
      </right>
      <top style="thin">
        <color rgb="00A3D9B5"/>
      </top>
      <bottom/>
      <diagonal/>
    </border>
    <border>
      <left style="thin">
        <color rgb="00A3D9B5"/>
      </left>
      <right style="thin">
        <color rgb="00A3D9B5"/>
      </right>
    </border>
    <border>
      <left style="thin">
        <color rgb="00A3D9B5"/>
      </left>
      <right/>
      <top/>
      <bottom/>
      <diagonal/>
    </border>
    <border>
      <left/>
      <right style="thin">
        <color rgb="00A3D9B5"/>
      </right>
      <top/>
      <bottom/>
      <diagonal/>
    </border>
    <border>
      <left style="thin">
        <color rgb="00A3D9B5"/>
      </left>
      <right style="thin">
        <color rgb="00A3D9B5"/>
      </right>
      <bottom style="thin">
        <color rgb="00A3D9B5"/>
      </bottom>
    </border>
    <border>
      <left/>
      <right style="thin">
        <color rgb="00A3D9B5"/>
      </right>
      <top/>
      <bottom style="thin">
        <color rgb="00A3D9B5"/>
      </bottom>
      <diagonal/>
    </border>
    <border>
      <left style="thin">
        <color rgb="00F5B7B1"/>
      </left>
      <top style="thin">
        <color rgb="00F5B7B1"/>
      </top>
    </border>
    <border>
      <right style="thin">
        <color rgb="00F5B7B1"/>
      </right>
      <top style="thin">
        <color rgb="00F5B7B1"/>
      </top>
    </border>
    <border>
      <left style="thin">
        <color rgb="00F5B7B1"/>
      </left>
    </border>
    <border>
      <right style="thin">
        <color rgb="00F5B7B1"/>
      </right>
    </border>
    <border>
      <left style="thin">
        <color rgb="00F5B7B1"/>
      </left>
      <bottom style="thin">
        <color rgb="00F5B7B1"/>
      </bottom>
    </border>
    <border>
      <right style="thin">
        <color rgb="00F5B7B1"/>
      </right>
      <bottom style="thin">
        <color rgb="00F5B7B1"/>
      </bottom>
    </border>
    <border>
      <left style="thin">
        <color rgb="00F5B7B1"/>
      </left>
      <right style="thin">
        <color rgb="00F5B7B1"/>
      </right>
      <top style="thin">
        <color rgb="00F5B7B1"/>
      </top>
    </border>
    <border>
      <left/>
      <right/>
      <top style="thin">
        <color rgb="00F5B7B1"/>
      </top>
      <bottom/>
      <diagonal/>
    </border>
    <border>
      <left/>
      <right style="thin">
        <color rgb="00F5B7B1"/>
      </right>
      <top style="thin">
        <color rgb="00F5B7B1"/>
      </top>
      <bottom/>
      <diagonal/>
    </border>
    <border>
      <left style="thin">
        <color rgb="00F5B7B1"/>
      </left>
      <right style="thin">
        <color rgb="00F5B7B1"/>
      </right>
    </border>
    <border>
      <left style="thin">
        <color rgb="00F5B7B1"/>
      </left>
      <right/>
      <top/>
      <bottom/>
      <diagonal/>
    </border>
    <border>
      <left/>
      <right style="thin">
        <color rgb="00F5B7B1"/>
      </right>
      <top/>
      <bottom/>
      <diagonal/>
    </border>
    <border>
      <left style="thin">
        <color rgb="00F5B7B1"/>
      </left>
      <right style="thin">
        <color rgb="00F5B7B1"/>
      </right>
      <bottom style="thin">
        <color rgb="00F5B7B1"/>
      </bottom>
    </border>
    <border>
      <left/>
      <right style="thin">
        <color rgb="00F5B7B1"/>
      </right>
      <top/>
      <bottom style="thin">
        <color rgb="00F5B7B1"/>
      </bottom>
      <diagonal/>
    </border>
    <border>
      <left style="thin">
        <color rgb="00AED6F1"/>
      </left>
      <top style="thin">
        <color rgb="00AED6F1"/>
      </top>
    </border>
    <border>
      <right style="thin">
        <color rgb="00AED6F1"/>
      </right>
      <top style="thin">
        <color rgb="00AED6F1"/>
      </top>
    </border>
    <border>
      <left style="thin">
        <color rgb="00AED6F1"/>
      </left>
    </border>
    <border>
      <right style="thin">
        <color rgb="00AED6F1"/>
      </right>
    </border>
    <border>
      <left style="thin">
        <color rgb="00AED6F1"/>
      </left>
      <bottom style="thin">
        <color rgb="00AED6F1"/>
      </bottom>
    </border>
    <border>
      <right style="thin">
        <color rgb="00AED6F1"/>
      </right>
      <bottom style="thin">
        <color rgb="00AED6F1"/>
      </bottom>
    </border>
    <border>
      <left style="thin">
        <color rgb="00AED6F1"/>
      </left>
      <right style="thin">
        <color rgb="00AED6F1"/>
      </right>
      <top style="thin">
        <color rgb="00AED6F1"/>
      </top>
    </border>
    <border>
      <left/>
      <right/>
      <top style="thin">
        <color rgb="00AED6F1"/>
      </top>
      <bottom/>
      <diagonal/>
    </border>
    <border>
      <left/>
      <right style="thin">
        <color rgb="00AED6F1"/>
      </right>
      <top style="thin">
        <color rgb="00AED6F1"/>
      </top>
      <bottom/>
      <diagonal/>
    </border>
    <border>
      <left style="thin">
        <color rgb="00AED6F1"/>
      </left>
      <right style="thin">
        <color rgb="00AED6F1"/>
      </right>
    </border>
    <border>
      <left/>
      <right style="thin">
        <color rgb="00AED6F1"/>
      </right>
      <top/>
      <bottom/>
      <diagonal/>
    </border>
    <border>
      <left style="thin">
        <color rgb="00AED6F1"/>
      </left>
      <right style="thin">
        <color rgb="00AED6F1"/>
      </right>
      <bottom style="thin">
        <color rgb="00AED6F1"/>
      </bottom>
    </border>
    <border>
      <left/>
      <right style="thin">
        <color rgb="00AED6F1"/>
      </right>
      <top/>
      <bottom style="thin">
        <color rgb="00AED6F1"/>
      </bottom>
      <diagonal/>
    </border>
    <border>
      <left style="thin">
        <color rgb="00D7BDE2"/>
      </left>
      <top style="thin">
        <color rgb="00D7BDE2"/>
      </top>
    </border>
    <border>
      <right style="thin">
        <color rgb="00D7BDE2"/>
      </right>
      <top style="thin">
        <color rgb="00D7BDE2"/>
      </top>
    </border>
    <border>
      <left style="thin">
        <color rgb="00D7BDE2"/>
      </left>
    </border>
    <border>
      <right style="thin">
        <color rgb="00D7BDE2"/>
      </right>
    </border>
    <border>
      <left style="thin">
        <color rgb="00D7BDE2"/>
      </left>
      <bottom style="thin">
        <color rgb="00D7BDE2"/>
      </bottom>
    </border>
    <border>
      <right style="thin">
        <color rgb="00D7BDE2"/>
      </right>
      <bottom style="thin">
        <color rgb="00D7BDE2"/>
      </bottom>
    </border>
    <border>
      <left style="thin">
        <color rgb="00D7BDE2"/>
      </left>
      <right style="thin">
        <color rgb="00D7BDE2"/>
      </right>
      <top style="thin">
        <color rgb="00D7BDE2"/>
      </top>
    </border>
    <border>
      <left/>
      <right/>
      <top style="thin">
        <color rgb="00D7BDE2"/>
      </top>
      <bottom/>
      <diagonal/>
    </border>
    <border>
      <left/>
      <right style="thin">
        <color rgb="00D7BDE2"/>
      </right>
      <top style="thin">
        <color rgb="00D7BDE2"/>
      </top>
      <bottom/>
      <diagonal/>
    </border>
    <border>
      <left style="thin">
        <color rgb="00D7BDE2"/>
      </left>
      <right style="thin">
        <color rgb="00D7BDE2"/>
      </right>
    </border>
    <border>
      <left style="thin">
        <color rgb="00D7BDE2"/>
      </left>
      <right/>
      <top/>
      <bottom/>
      <diagonal/>
    </border>
    <border>
      <left/>
      <right style="thin">
        <color rgb="00D7BDE2"/>
      </right>
      <top/>
      <bottom/>
      <diagonal/>
    </border>
    <border>
      <left style="thin">
        <color rgb="00D7BDE2"/>
      </left>
      <right style="thin">
        <color rgb="00D7BDE2"/>
      </right>
      <bottom style="thin">
        <color rgb="00D7BDE2"/>
      </bottom>
    </border>
    <border>
      <left/>
      <right style="thin">
        <color rgb="00D7BDE2"/>
      </right>
      <top/>
      <bottom style="thin">
        <color rgb="00D7BDE2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15" fillId="4" borderId="2" applyAlignment="1" pivotButton="0" quotePrefix="0" xfId="0">
      <alignment horizontal="center" vertical="center"/>
    </xf>
    <xf numFmtId="0" fontId="16" fillId="0" borderId="0" pivotButton="0" quotePrefix="0" xfId="0"/>
    <xf numFmtId="0" fontId="17" fillId="14" borderId="9" applyAlignment="1" pivotButton="0" quotePrefix="0" xfId="0">
      <alignment horizontal="center" vertical="center"/>
    </xf>
    <xf numFmtId="0" fontId="0" fillId="0" borderId="11" pivotButton="0" quotePrefix="0" xfId="0"/>
    <xf numFmtId="0" fontId="7" fillId="15" borderId="23" applyAlignment="1" pivotButton="0" quotePrefix="0" xfId="0">
      <alignment horizontal="center" vertical="center"/>
    </xf>
    <xf numFmtId="0" fontId="0" fillId="0" borderId="25" pivotButton="0" quotePrefix="0" xfId="0"/>
    <xf numFmtId="0" fontId="22" fillId="16" borderId="37" applyAlignment="1" pivotButton="0" quotePrefix="0" xfId="0">
      <alignment horizontal="center" vertical="center"/>
    </xf>
    <xf numFmtId="0" fontId="0" fillId="0" borderId="39" pivotButton="0" quotePrefix="0" xfId="0"/>
    <xf numFmtId="0" fontId="25" fillId="17" borderId="50" applyAlignment="1" pivotButton="0" quotePrefix="0" xfId="0">
      <alignment horizontal="center" vertical="center"/>
    </xf>
    <xf numFmtId="0" fontId="0" fillId="0" borderId="52" pivotButton="0" quotePrefix="0" xfId="0"/>
    <xf numFmtId="165" fontId="18" fillId="14" borderId="12" applyAlignment="1" pivotButton="0" quotePrefix="0" xfId="0">
      <alignment horizontal="center" vertical="center"/>
    </xf>
    <xf numFmtId="0" fontId="0" fillId="0" borderId="14" pivotButton="0" quotePrefix="0" xfId="0"/>
    <xf numFmtId="165" fontId="20" fillId="15" borderId="26" applyAlignment="1" pivotButton="0" quotePrefix="0" xfId="0">
      <alignment horizontal="center" vertical="center"/>
    </xf>
    <xf numFmtId="0" fontId="0" fillId="0" borderId="28" pivotButton="0" quotePrefix="0" xfId="0"/>
    <xf numFmtId="165" fontId="23" fillId="16" borderId="40" applyAlignment="1" pivotButton="0" quotePrefix="0" xfId="0">
      <alignment horizontal="center" vertical="center"/>
    </xf>
    <xf numFmtId="0" fontId="0" fillId="0" borderId="41" pivotButton="0" quotePrefix="0" xfId="0"/>
    <xf numFmtId="165" fontId="26" fillId="17" borderId="53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13" pivotButton="0" quotePrefix="0" xfId="0"/>
    <xf numFmtId="0" fontId="0" fillId="0" borderId="27" pivotButton="0" quotePrefix="0" xfId="0"/>
    <xf numFmtId="0" fontId="19" fillId="16" borderId="40" applyAlignment="1" pivotButton="0" quotePrefix="0" xfId="0">
      <alignment horizontal="center" vertical="center"/>
    </xf>
    <xf numFmtId="0" fontId="0" fillId="0" borderId="54" pivotButton="0" quotePrefix="0" xfId="0"/>
    <xf numFmtId="0" fontId="19" fillId="14" borderId="15" applyAlignment="1" pivotButton="0" quotePrefix="0" xfId="0">
      <alignment horizontal="center" vertical="center"/>
    </xf>
    <xf numFmtId="0" fontId="0" fillId="0" borderId="16" pivotButton="0" quotePrefix="0" xfId="0"/>
    <xf numFmtId="0" fontId="21" fillId="15" borderId="29" applyAlignment="1" pivotButton="0" quotePrefix="0" xfId="0">
      <alignment horizontal="center" vertical="center"/>
    </xf>
    <xf numFmtId="0" fontId="0" fillId="0" borderId="30" pivotButton="0" quotePrefix="0" xfId="0"/>
    <xf numFmtId="0" fontId="24" fillId="16" borderId="42" applyAlignment="1" pivotButton="0" quotePrefix="0" xfId="0">
      <alignment horizontal="center" vertical="center"/>
    </xf>
    <xf numFmtId="0" fontId="0" fillId="0" borderId="43" pivotButton="0" quotePrefix="0" xfId="0"/>
    <xf numFmtId="0" fontId="21" fillId="17" borderId="56" applyAlignment="1" pivotButton="0" quotePrefix="0" xfId="0">
      <alignment horizontal="center" vertical="center"/>
    </xf>
    <xf numFmtId="0" fontId="0" fillId="0" borderId="57" pivotButton="0" quotePrefix="0" xfId="0"/>
    <xf numFmtId="0" fontId="1" fillId="2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/>
    </xf>
    <xf numFmtId="0" fontId="27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165" fontId="3" fillId="4" borderId="1" applyAlignment="1" pivotButton="0" quotePrefix="0" xfId="0">
      <alignment horizontal="right"/>
    </xf>
    <xf numFmtId="0" fontId="7" fillId="4" borderId="1" applyAlignment="1" pivotButton="0" quotePrefix="0" xfId="0">
      <alignment horizontal="left" indent="1"/>
    </xf>
    <xf numFmtId="165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165" fontId="3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left" indent="1"/>
    </xf>
    <xf numFmtId="165" fontId="2" fillId="6" borderId="1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  <xf numFmtId="0" fontId="9" fillId="4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0" fontId="11" fillId="4" borderId="1" applyAlignment="1" pivotButton="0" quotePrefix="0" xfId="0">
      <alignment horizontal="left" indent="1"/>
    </xf>
    <xf numFmtId="0" fontId="6" fillId="6" borderId="1" applyAlignment="1" pivotButton="0" quotePrefix="0" xfId="0">
      <alignment horizontal="left" indent="1"/>
    </xf>
    <xf numFmtId="0" fontId="12" fillId="4" borderId="1" applyAlignment="1" pivotButton="0" quotePrefix="0" xfId="0">
      <alignment horizontal="left" indent="1"/>
    </xf>
    <xf numFmtId="0" fontId="13" fillId="6" borderId="1" applyAlignment="1" pivotButton="0" quotePrefix="0" xfId="0">
      <alignment horizontal="left" indent="1"/>
    </xf>
    <xf numFmtId="0" fontId="7" fillId="13" borderId="1" applyAlignment="1" pivotButton="0" quotePrefix="0" xfId="0">
      <alignment horizontal="left" indent="1"/>
    </xf>
    <xf numFmtId="165" fontId="7" fillId="13" borderId="1" applyAlignment="1" pivotButton="0" quotePrefix="0" xfId="0">
      <alignment horizontal="right"/>
    </xf>
    <xf numFmtId="164" fontId="7" fillId="13" borderId="1" applyAlignment="1" pivotButton="0" quotePrefix="0" xfId="0">
      <alignment horizontal="right"/>
    </xf>
    <xf numFmtId="0" fontId="17" fillId="4" borderId="1" applyAlignment="1" pivotButton="0" quotePrefix="0" xfId="0">
      <alignment horizontal="left" indent="1"/>
    </xf>
    <xf numFmtId="165" fontId="17" fillId="5" borderId="1" applyAlignment="1" pivotButton="0" quotePrefix="0" xfId="0">
      <alignment horizontal="right"/>
    </xf>
    <xf numFmtId="0" fontId="7" fillId="6" borderId="1" applyAlignment="1" pivotButton="0" quotePrefix="0" xfId="0">
      <alignment horizontal="left" indent="1"/>
    </xf>
    <xf numFmtId="165" fontId="7" fillId="8" borderId="1" applyAlignment="1" pivotButton="0" quotePrefix="0" xfId="0">
      <alignment horizontal="right"/>
    </xf>
    <xf numFmtId="0" fontId="28" fillId="4" borderId="1" applyAlignment="1" pivotButton="0" quotePrefix="0" xfId="0">
      <alignment horizontal="left" indent="1"/>
    </xf>
    <xf numFmtId="165" fontId="28" fillId="9" borderId="1" applyAlignment="1" pivotButton="0" quotePrefix="0" xfId="0">
      <alignment horizontal="right"/>
    </xf>
    <xf numFmtId="0" fontId="22" fillId="6" borderId="1" applyAlignment="1" pivotButton="0" quotePrefix="0" xfId="0">
      <alignment horizontal="left" indent="1"/>
    </xf>
    <xf numFmtId="165" fontId="22" fillId="9" borderId="1" applyAlignment="1" pivotButton="0" quotePrefix="0" xfId="0">
      <alignment horizontal="right"/>
    </xf>
    <xf numFmtId="0" fontId="1" fillId="2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3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12" fillId="12" borderId="1" applyAlignment="1" pivotButton="0" quotePrefix="0" xfId="0">
      <alignment horizontal="center"/>
    </xf>
    <xf numFmtId="0" fontId="13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Distribuição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'Dashboard'!J10</f>
            </strRef>
          </tx>
          <spPr>
            <a:ln>
              <a:prstDash val="solid"/>
            </a:ln>
          </spPr>
          <cat>
            <numRef>
              <f>'Dashboard'!$I$11:$I$18</f>
            </numRef>
          </cat>
          <val>
            <numRef>
              <f>'Dashboard'!$J$11:$J$18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20</row>
      <rowOff>0</rowOff>
    </from>
    <ext cx="48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10" customWidth="1" min="4" max="4"/>
    <col width="14" customWidth="1" min="5" max="5"/>
    <col width="7" customWidth="1" min="6" max="6"/>
    <col width="24" customWidth="1" min="7" max="7"/>
    <col width="3" customWidth="1" min="8" max="8"/>
    <col width="18" customWidth="1" min="9" max="9"/>
    <col width="15" customWidth="1" min="10" max="10"/>
    <col width="13" customWidth="1" min="11" max="11"/>
    <col width="13" customWidth="1" min="12" max="12"/>
    <col width="13" customWidth="1" min="13" max="13"/>
    <col width="16" customWidth="1" min="14" max="14"/>
  </cols>
  <sheetData>
    <row r="1" ht="36" customHeight="1">
      <c r="A1" s="1" t="inlineStr">
        <is>
          <t>Controle Financeiro Pessoal - 12 Meses</t>
        </is>
      </c>
      <c r="L1" s="2" t="inlineStr">
        <is>
          <t>Filtrar Mês:</t>
        </is>
      </c>
      <c r="N1" s="3" t="inlineStr">
        <is>
          <t>Todos</t>
        </is>
      </c>
    </row>
    <row r="2" ht="10" customHeight="1"/>
    <row r="3" ht="22" customHeight="1">
      <c r="A3" s="4" t="inlineStr">
        <is>
          <t>Resumo Mensal</t>
        </is>
      </c>
    </row>
    <row r="4" ht="18" customHeight="1">
      <c r="A4" s="5" t="inlineStr">
        <is>
          <t>💵  Salário Líquido</t>
        </is>
      </c>
      <c r="B4" s="6" t="n"/>
      <c r="C4" s="5" t="inlineStr">
        <is>
          <t>💼  Rendas Extras (Freelancer)</t>
        </is>
      </c>
      <c r="D4" s="6" t="n"/>
      <c r="E4" s="5" t="inlineStr">
        <is>
          <t>Total Receitas</t>
        </is>
      </c>
      <c r="F4" s="6" t="n"/>
      <c r="G4" s="7" t="inlineStr">
        <is>
          <t>⬇️  Total Despesas</t>
        </is>
      </c>
      <c r="H4" s="8" t="n"/>
      <c r="I4" s="5" t="inlineStr">
        <is>
          <t>💲  Disponível no Mês</t>
        </is>
      </c>
      <c r="J4" s="6" t="n"/>
      <c r="K4" s="9" t="inlineStr">
        <is>
          <t>🏦  Reserva Financeira</t>
        </is>
      </c>
      <c r="L4" s="10" t="n"/>
      <c r="M4" s="11" t="inlineStr">
        <is>
          <t>🎓  Gasto com Estudos</t>
        </is>
      </c>
      <c r="N4" s="12" t="n"/>
    </row>
    <row r="5" ht="16" customHeight="1">
      <c r="A5" s="13">
        <f>IF($N$1="Todos", SUMIFS('Lançamentos'!$E$3:$E$500, 'Lançamentos'!$C$3:$C$500, "Salário", 'Lançamentos'!$D$3:$D$500, "Receita"), SUMIFS('Lançamentos'!$E$3:$E$500, 'Lançamentos'!$C$3:$C$500, "Salário", 'Lançamentos'!$D$3:$D$500, "Receita", 'Lançamentos'!$F$3:$F$500, $N$1))</f>
        <v/>
      </c>
      <c r="B5" s="14" t="n"/>
      <c r="C5" s="13">
        <f>IF($N$1="Todos", SUMIFS('Lançamentos'!$E$3:$E$500, 'Lançamentos'!$C$3:$C$500, "Rendas Extras", 'Lançamentos'!$D$3:$D$500, "Receita"), SUMIFS('Lançamentos'!$E$3:$E$500, 'Lançamentos'!$C$3:$C$500, "Rendas Extras", 'Lançamentos'!$D$3:$D$500, "Receita", 'Lançamentos'!$F$3:$F$500, $N$1))</f>
        <v/>
      </c>
      <c r="D5" s="14" t="n"/>
      <c r="E5" s="13">
        <f>IF($N$1="Todos", SUMIFS('Lançamentos'!$E$3:$E$500, 'Lançamentos'!$D$3:$D$500, "Receita"), SUMIFS('Lançamentos'!$E$3:$E$500, 'Lançamentos'!$D$3:$D$500, "Receita", 'Lançamentos'!$F$3:$F$500, $N$1))</f>
        <v/>
      </c>
      <c r="F5" s="14" t="n"/>
      <c r="G5" s="15">
        <f>IF($N$1="Todos", SUMIFS('Lançamentos'!$E$3:$E$500, 'Lançamentos'!$D$3:$D$500, "Despesa"), SUMIFS('Lançamentos'!$E$3:$E$500, 'Lançamentos'!$D$3:$D$500, "Despesa", 'Lançamentos'!$F$3:$F$500, $N$1))</f>
        <v/>
      </c>
      <c r="H5" s="16" t="n"/>
      <c r="I5" s="13">
        <f>E5-G5</f>
        <v/>
      </c>
      <c r="J5" s="14" t="n"/>
      <c r="K5" s="17">
        <f>IF($N$1="Todos", SUMIFS('Lançamentos'!$E$3:$E$500, 'Lançamentos'!$C$3:$C$500, "Reserva"), SUMIFS('Lançamentos'!$E$3:$E$500, 'Lançamentos'!$C$3:$C$500, "Reserva", 'Lançamentos'!$F$3:$F$500, $N$1))</f>
        <v/>
      </c>
      <c r="L5" s="18" t="n"/>
      <c r="M5" s="19">
        <f>IF($N$1="Todos", SUMIFS('Lançamentos'!$E$3:$E$500, 'Lançamentos'!$C$3:$C$500, "Estudos", 'Lançamentos'!$D$3:$D$500, "Despesa"), SUMIFS('Lançamentos'!$E$3:$E$500, 'Lançamentos'!$C$3:$C$500, "Estudos", 'Lançamentos'!$D$3:$D$500, "Despesa", 'Lançamentos'!$F$3:$F$500, $N$1))</f>
        <v/>
      </c>
      <c r="N5" s="20" t="n"/>
    </row>
    <row r="6" ht="16" customHeight="1">
      <c r="A6" s="21" t="n"/>
      <c r="B6" s="14" t="n"/>
      <c r="C6" s="21" t="n"/>
      <c r="D6" s="14" t="n"/>
      <c r="E6" s="21" t="n"/>
      <c r="F6" s="14" t="n"/>
      <c r="G6" s="22" t="n"/>
      <c r="H6" s="16" t="n"/>
      <c r="I6" s="21" t="n"/>
      <c r="J6" s="14" t="n"/>
      <c r="K6" s="23" t="inlineStr">
        <is>
          <t>(Meta: 20% das receitas)</t>
        </is>
      </c>
      <c r="L6" s="18" t="n"/>
      <c r="M6" s="24" t="n"/>
      <c r="N6" s="20" t="n"/>
    </row>
    <row r="7" ht="16" customHeight="1">
      <c r="A7" s="25" t="inlineStr">
        <is>
          <t>(Receita principal)</t>
        </is>
      </c>
      <c r="B7" s="26" t="n"/>
      <c r="C7" s="25" t="inlineStr">
        <is>
          <t>(Projetos e consultoria)</t>
        </is>
      </c>
      <c r="D7" s="26" t="n"/>
      <c r="E7" s="25" t="inlineStr">
        <is>
          <t>(Salário + Extras)</t>
        </is>
      </c>
      <c r="F7" s="26" t="n"/>
      <c r="G7" s="27" t="inlineStr">
        <is>
          <t>(Todos os gastos)</t>
        </is>
      </c>
      <c r="H7" s="28" t="n"/>
      <c r="I7" s="25" t="inlineStr">
        <is>
          <t>(Receitas - Despesas)</t>
        </is>
      </c>
      <c r="J7" s="26" t="n"/>
      <c r="K7" s="29">
        <f>"Atingido: " &amp; TEXT(IF(E5&gt;0, K5/(E5*'Configurações'!$J$2), 0), "0.0%")</f>
        <v/>
      </c>
      <c r="L7" s="30" t="n"/>
      <c r="M7" s="31" t="inlineStr">
        <is>
          <t>(Cursos, livros, faculdade)</t>
        </is>
      </c>
      <c r="N7" s="32" t="n"/>
    </row>
    <row r="8" ht="10" customHeight="1"/>
    <row r="9" ht="24" customHeight="1">
      <c r="A9" s="33" t="inlineStr">
        <is>
          <t>Lançamentos</t>
        </is>
      </c>
      <c r="I9" s="34" t="inlineStr">
        <is>
          <t>Gastos por Categoria</t>
        </is>
      </c>
    </row>
    <row r="10" ht="20" customHeight="1">
      <c r="A10" s="35" t="inlineStr">
        <is>
          <t>Data</t>
        </is>
      </c>
      <c r="B10" s="35" t="inlineStr">
        <is>
          <t>Descrição</t>
        </is>
      </c>
      <c r="C10" s="35" t="inlineStr">
        <is>
          <t>Categoria</t>
        </is>
      </c>
      <c r="D10" s="35" t="inlineStr">
        <is>
          <t>Tipo</t>
        </is>
      </c>
      <c r="E10" s="35" t="inlineStr">
        <is>
          <t>Valor (R$)</t>
        </is>
      </c>
      <c r="F10" s="35" t="inlineStr">
        <is>
          <t>Mês</t>
        </is>
      </c>
      <c r="G10" s="35" t="inlineStr">
        <is>
          <t>Observações</t>
        </is>
      </c>
      <c r="I10" s="35" t="inlineStr">
        <is>
          <t>Categoria</t>
        </is>
      </c>
      <c r="J10" s="35" t="inlineStr">
        <is>
          <t>Valor (R$)</t>
        </is>
      </c>
      <c r="K10" s="35" t="inlineStr">
        <is>
          <t>% do Total</t>
        </is>
      </c>
    </row>
    <row r="11" ht="19" customHeight="1">
      <c r="A11" s="36">
        <f>IF('Lançamentos'!A3="","",'Lançamentos'!A3)</f>
        <v/>
      </c>
      <c r="B11" s="37">
        <f>IF('Lançamentos'!B3="","",'Lançamentos'!B3)</f>
        <v/>
      </c>
      <c r="C11" s="38">
        <f>IF('Lançamentos'!C3="","",'Lançamentos'!C3)</f>
        <v/>
      </c>
      <c r="D11" s="36">
        <f>IF('Lançamentos'!D3="","",'Lançamentos'!D3)</f>
        <v/>
      </c>
      <c r="E11" s="39">
        <f>IF('Lançamentos'!E3="","",'Lançamentos'!E3)</f>
        <v/>
      </c>
      <c r="F11" s="36">
        <f>IF('Lançamentos'!F3="","",'Lançamentos'!F3)</f>
        <v/>
      </c>
      <c r="G11" s="37">
        <f>IF('Lançamentos'!G3="","",'Lançamentos'!G3)</f>
        <v/>
      </c>
      <c r="I11" s="40" t="inlineStr">
        <is>
          <t>Moradia</t>
        </is>
      </c>
      <c r="J11" s="41">
        <f>IF($N$1="Todos", SUMIFS('Lançamentos'!$E$3:$E$500, 'Lançamentos'!$C$3:$C$500, I11, 'Lançamentos'!$D$3:$D$500, "Despesa"), SUMIFS('Lançamentos'!$E$3:$E$500, 'Lançamentos'!$C$3:$C$500, I11, 'Lançamentos'!$D$3:$D$500, "Despesa", 'Lançamentos'!$F$3:$F$500, $N$1))</f>
        <v/>
      </c>
      <c r="K11" s="42">
        <f>IF($J$19&gt;0, J11/$J$19, 0)</f>
        <v/>
      </c>
    </row>
    <row r="12" ht="19" customHeight="1">
      <c r="A12" s="43">
        <f>IF('Lançamentos'!A4="","",'Lançamentos'!A4)</f>
        <v/>
      </c>
      <c r="B12" s="44">
        <f>IF('Lançamentos'!B4="","",'Lançamentos'!B4)</f>
        <v/>
      </c>
      <c r="C12" s="45">
        <f>IF('Lançamentos'!C4="","",'Lançamentos'!C4)</f>
        <v/>
      </c>
      <c r="D12" s="43">
        <f>IF('Lançamentos'!D4="","",'Lançamentos'!D4)</f>
        <v/>
      </c>
      <c r="E12" s="46">
        <f>IF('Lançamentos'!E4="","",'Lançamentos'!E4)</f>
        <v/>
      </c>
      <c r="F12" s="43">
        <f>IF('Lançamentos'!F4="","",'Lançamentos'!F4)</f>
        <v/>
      </c>
      <c r="G12" s="44">
        <f>IF('Lançamentos'!G4="","",'Lançamentos'!G4)</f>
        <v/>
      </c>
      <c r="I12" s="47" t="inlineStr">
        <is>
          <t>Alimentação</t>
        </is>
      </c>
      <c r="J12" s="48">
        <f>IF($N$1="Todos", SUMIFS('Lançamentos'!$E$3:$E$500, 'Lançamentos'!$C$3:$C$500, I12, 'Lançamentos'!$D$3:$D$500, "Despesa"), SUMIFS('Lançamentos'!$E$3:$E$500, 'Lançamentos'!$C$3:$C$500, I12, 'Lançamentos'!$D$3:$D$500, "Despesa", 'Lançamentos'!$F$3:$F$500, $N$1))</f>
        <v/>
      </c>
      <c r="K12" s="49">
        <f>IF($J$19&gt;0, J12/$J$19, 0)</f>
        <v/>
      </c>
    </row>
    <row r="13" ht="19" customHeight="1">
      <c r="A13" s="36">
        <f>IF('Lançamentos'!A5="","",'Lançamentos'!A5)</f>
        <v/>
      </c>
      <c r="B13" s="37">
        <f>IF('Lançamentos'!B5="","",'Lançamentos'!B5)</f>
        <v/>
      </c>
      <c r="C13" s="38">
        <f>IF('Lançamentos'!C5="","",'Lançamentos'!C5)</f>
        <v/>
      </c>
      <c r="D13" s="36">
        <f>IF('Lançamentos'!D5="","",'Lançamentos'!D5)</f>
        <v/>
      </c>
      <c r="E13" s="39">
        <f>IF('Lançamentos'!E5="","",'Lançamentos'!E5)</f>
        <v/>
      </c>
      <c r="F13" s="36">
        <f>IF('Lançamentos'!F5="","",'Lançamentos'!F5)</f>
        <v/>
      </c>
      <c r="G13" s="37">
        <f>IF('Lançamentos'!G5="","",'Lançamentos'!G5)</f>
        <v/>
      </c>
      <c r="I13" s="50" t="inlineStr">
        <is>
          <t>Transporte</t>
        </is>
      </c>
      <c r="J13" s="41">
        <f>IF($N$1="Todos", SUMIFS('Lançamentos'!$E$3:$E$500, 'Lançamentos'!$C$3:$C$500, I13, 'Lançamentos'!$D$3:$D$500, "Despesa"), SUMIFS('Lançamentos'!$E$3:$E$500, 'Lançamentos'!$C$3:$C$500, I13, 'Lançamentos'!$D$3:$D$500, "Despesa", 'Lançamentos'!$F$3:$F$500, $N$1))</f>
        <v/>
      </c>
      <c r="K13" s="42">
        <f>IF($J$19&gt;0, J13/$J$19, 0)</f>
        <v/>
      </c>
    </row>
    <row r="14" ht="19" customHeight="1">
      <c r="A14" s="43">
        <f>IF('Lançamentos'!A6="","",'Lançamentos'!A6)</f>
        <v/>
      </c>
      <c r="B14" s="44">
        <f>IF('Lançamentos'!B6="","",'Lançamentos'!B6)</f>
        <v/>
      </c>
      <c r="C14" s="45">
        <f>IF('Lançamentos'!C6="","",'Lançamentos'!C6)</f>
        <v/>
      </c>
      <c r="D14" s="43">
        <f>IF('Lançamentos'!D6="","",'Lançamentos'!D6)</f>
        <v/>
      </c>
      <c r="E14" s="46">
        <f>IF('Lançamentos'!E6="","",'Lançamentos'!E6)</f>
        <v/>
      </c>
      <c r="F14" s="43">
        <f>IF('Lançamentos'!F6="","",'Lançamentos'!F6)</f>
        <v/>
      </c>
      <c r="G14" s="44">
        <f>IF('Lançamentos'!G6="","",'Lançamentos'!G6)</f>
        <v/>
      </c>
      <c r="I14" s="51" t="inlineStr">
        <is>
          <t>Estudos</t>
        </is>
      </c>
      <c r="J14" s="48">
        <f>IF($N$1="Todos", SUMIFS('Lançamentos'!$E$3:$E$500, 'Lançamentos'!$C$3:$C$500, I14, 'Lançamentos'!$D$3:$D$500, "Despesa"), SUMIFS('Lançamentos'!$E$3:$E$500, 'Lançamentos'!$C$3:$C$500, I14, 'Lançamentos'!$D$3:$D$500, "Despesa", 'Lançamentos'!$F$3:$F$500, $N$1))</f>
        <v/>
      </c>
      <c r="K14" s="49">
        <f>IF($J$19&gt;0, J14/$J$19, 0)</f>
        <v/>
      </c>
    </row>
    <row r="15" ht="19" customHeight="1">
      <c r="A15" s="36">
        <f>IF('Lançamentos'!A7="","",'Lançamentos'!A7)</f>
        <v/>
      </c>
      <c r="B15" s="37">
        <f>IF('Lançamentos'!B7="","",'Lançamentos'!B7)</f>
        <v/>
      </c>
      <c r="C15" s="38">
        <f>IF('Lançamentos'!C7="","",'Lançamentos'!C7)</f>
        <v/>
      </c>
      <c r="D15" s="36">
        <f>IF('Lançamentos'!D7="","",'Lançamentos'!D7)</f>
        <v/>
      </c>
      <c r="E15" s="39">
        <f>IF('Lançamentos'!E7="","",'Lançamentos'!E7)</f>
        <v/>
      </c>
      <c r="F15" s="36">
        <f>IF('Lançamentos'!F7="","",'Lançamentos'!F7)</f>
        <v/>
      </c>
      <c r="G15" s="37">
        <f>IF('Lançamentos'!G7="","",'Lançamentos'!G7)</f>
        <v/>
      </c>
      <c r="I15" s="52" t="inlineStr">
        <is>
          <t>Saúde</t>
        </is>
      </c>
      <c r="J15" s="41">
        <f>IF($N$1="Todos", SUMIFS('Lançamentos'!$E$3:$E$500, 'Lançamentos'!$C$3:$C$500, I15, 'Lançamentos'!$D$3:$D$500, "Despesa"), SUMIFS('Lançamentos'!$E$3:$E$500, 'Lançamentos'!$C$3:$C$500, I15, 'Lançamentos'!$D$3:$D$500, "Despesa", 'Lançamentos'!$F$3:$F$500, $N$1))</f>
        <v/>
      </c>
      <c r="K15" s="42">
        <f>IF($J$19&gt;0, J15/$J$19, 0)</f>
        <v/>
      </c>
    </row>
    <row r="16" ht="19" customHeight="1">
      <c r="A16" s="43">
        <f>IF('Lançamentos'!A8="","",'Lançamentos'!A8)</f>
        <v/>
      </c>
      <c r="B16" s="44">
        <f>IF('Lançamentos'!B8="","",'Lançamentos'!B8)</f>
        <v/>
      </c>
      <c r="C16" s="45">
        <f>IF('Lançamentos'!C8="","",'Lançamentos'!C8)</f>
        <v/>
      </c>
      <c r="D16" s="43">
        <f>IF('Lançamentos'!D8="","",'Lançamentos'!D8)</f>
        <v/>
      </c>
      <c r="E16" s="46">
        <f>IF('Lançamentos'!E8="","",'Lançamentos'!E8)</f>
        <v/>
      </c>
      <c r="F16" s="43">
        <f>IF('Lançamentos'!F8="","",'Lançamentos'!F8)</f>
        <v/>
      </c>
      <c r="G16" s="44">
        <f>IF('Lançamentos'!G8="","",'Lançamentos'!G8)</f>
        <v/>
      </c>
      <c r="I16" s="53" t="inlineStr">
        <is>
          <t>Lazer</t>
        </is>
      </c>
      <c r="J16" s="48">
        <f>IF($N$1="Todos", SUMIFS('Lançamentos'!$E$3:$E$500, 'Lançamentos'!$C$3:$C$500, I16, 'Lançamentos'!$D$3:$D$500, "Despesa"), SUMIFS('Lançamentos'!$E$3:$E$500, 'Lançamentos'!$C$3:$C$500, I16, 'Lançamentos'!$D$3:$D$500, "Despesa", 'Lançamentos'!$F$3:$F$500, $N$1))</f>
        <v/>
      </c>
      <c r="K16" s="49">
        <f>IF($J$19&gt;0, J16/$J$19, 0)</f>
        <v/>
      </c>
    </row>
    <row r="17" ht="19" customHeight="1">
      <c r="A17" s="36">
        <f>IF('Lançamentos'!A9="","",'Lançamentos'!A9)</f>
        <v/>
      </c>
      <c r="B17" s="37">
        <f>IF('Lançamentos'!B9="","",'Lançamentos'!B9)</f>
        <v/>
      </c>
      <c r="C17" s="38">
        <f>IF('Lançamentos'!C9="","",'Lançamentos'!C9)</f>
        <v/>
      </c>
      <c r="D17" s="36">
        <f>IF('Lançamentos'!D9="","",'Lançamentos'!D9)</f>
        <v/>
      </c>
      <c r="E17" s="39">
        <f>IF('Lançamentos'!E9="","",'Lançamentos'!E9)</f>
        <v/>
      </c>
      <c r="F17" s="36">
        <f>IF('Lançamentos'!F9="","",'Lançamentos'!F9)</f>
        <v/>
      </c>
      <c r="G17" s="37">
        <f>IF('Lançamentos'!G9="","",'Lançamentos'!G9)</f>
        <v/>
      </c>
      <c r="I17" s="54" t="inlineStr">
        <is>
          <t>Reserva</t>
        </is>
      </c>
      <c r="J17" s="41">
        <f>IF($N$1="Todos", SUMIFS('Lançamentos'!$E$3:$E$500, 'Lançamentos'!$C$3:$C$500, I17, 'Lançamentos'!$D$3:$D$500, "Despesa"), SUMIFS('Lançamentos'!$E$3:$E$500, 'Lançamentos'!$C$3:$C$500, I17, 'Lançamentos'!$D$3:$D$500, "Despesa", 'Lançamentos'!$F$3:$F$500, $N$1))</f>
        <v/>
      </c>
      <c r="K17" s="42">
        <f>IF($J$19&gt;0, J17/$J$19, 0)</f>
        <v/>
      </c>
    </row>
    <row r="18" ht="19" customHeight="1">
      <c r="A18" s="43">
        <f>IF('Lançamentos'!A10="","",'Lançamentos'!A10)</f>
        <v/>
      </c>
      <c r="B18" s="44">
        <f>IF('Lançamentos'!B10="","",'Lançamentos'!B10)</f>
        <v/>
      </c>
      <c r="C18" s="45">
        <f>IF('Lançamentos'!C10="","",'Lançamentos'!C10)</f>
        <v/>
      </c>
      <c r="D18" s="43">
        <f>IF('Lançamentos'!D10="","",'Lançamentos'!D10)</f>
        <v/>
      </c>
      <c r="E18" s="46">
        <f>IF('Lançamentos'!E10="","",'Lançamentos'!E10)</f>
        <v/>
      </c>
      <c r="F18" s="43">
        <f>IF('Lançamentos'!F10="","",'Lançamentos'!F10)</f>
        <v/>
      </c>
      <c r="G18" s="44">
        <f>IF('Lançamentos'!G10="","",'Lançamentos'!G10)</f>
        <v/>
      </c>
      <c r="I18" s="55" t="inlineStr">
        <is>
          <t>Outras Despesas</t>
        </is>
      </c>
      <c r="J18" s="48">
        <f>IF($N$1="Todos", SUMIFS('Lançamentos'!$E$3:$E$500, 'Lançamentos'!$C$3:$C$500, I18, 'Lançamentos'!$D$3:$D$500, "Despesa"), SUMIFS('Lançamentos'!$E$3:$E$500, 'Lançamentos'!$C$3:$C$500, I18, 'Lançamentos'!$D$3:$D$500, "Despesa", 'Lançamentos'!$F$3:$F$500, $N$1))</f>
        <v/>
      </c>
      <c r="K18" s="49">
        <f>IF($J$19&gt;0, J18/$J$19, 0)</f>
        <v/>
      </c>
    </row>
    <row r="19" ht="20" customHeight="1">
      <c r="A19" s="36">
        <f>IF('Lançamentos'!A11="","",'Lançamentos'!A11)</f>
        <v/>
      </c>
      <c r="B19" s="37">
        <f>IF('Lançamentos'!B11="","",'Lançamentos'!B11)</f>
        <v/>
      </c>
      <c r="C19" s="38">
        <f>IF('Lançamentos'!C11="","",'Lançamentos'!C11)</f>
        <v/>
      </c>
      <c r="D19" s="36">
        <f>IF('Lançamentos'!D11="","",'Lançamentos'!D11)</f>
        <v/>
      </c>
      <c r="E19" s="39">
        <f>IF('Lançamentos'!E11="","",'Lançamentos'!E11)</f>
        <v/>
      </c>
      <c r="F19" s="36">
        <f>IF('Lançamentos'!F11="","",'Lançamentos'!F11)</f>
        <v/>
      </c>
      <c r="G19" s="37">
        <f>IF('Lançamentos'!G11="","",'Lançamentos'!G11)</f>
        <v/>
      </c>
      <c r="I19" s="56" t="inlineStr">
        <is>
          <t>Total Despesas</t>
        </is>
      </c>
      <c r="J19" s="57">
        <f>SUM(J11:J18)</f>
        <v/>
      </c>
      <c r="K19" s="58">
        <f>SUM(K11:K18)</f>
        <v/>
      </c>
    </row>
    <row r="20" ht="19" customHeight="1">
      <c r="A20" s="43">
        <f>IF('Lançamentos'!A12="","",'Lançamentos'!A12)</f>
        <v/>
      </c>
      <c r="B20" s="44">
        <f>IF('Lançamentos'!B12="","",'Lançamentos'!B12)</f>
        <v/>
      </c>
      <c r="C20" s="45">
        <f>IF('Lançamentos'!C12="","",'Lançamentos'!C12)</f>
        <v/>
      </c>
      <c r="D20" s="43">
        <f>IF('Lançamentos'!D12="","",'Lançamentos'!D12)</f>
        <v/>
      </c>
      <c r="E20" s="46">
        <f>IF('Lançamentos'!E12="","",'Lançamentos'!E12)</f>
        <v/>
      </c>
      <c r="F20" s="43">
        <f>IF('Lançamentos'!F12="","",'Lançamentos'!F12)</f>
        <v/>
      </c>
      <c r="G20" s="44">
        <f>IF('Lançamentos'!G12="","",'Lançamentos'!G12)</f>
        <v/>
      </c>
    </row>
    <row r="21" ht="19" customHeight="1">
      <c r="A21" s="36">
        <f>IF('Lançamentos'!A13="","",'Lançamentos'!A13)</f>
        <v/>
      </c>
      <c r="B21" s="37">
        <f>IF('Lançamentos'!B13="","",'Lançamentos'!B13)</f>
        <v/>
      </c>
      <c r="C21" s="38">
        <f>IF('Lançamentos'!C13="","",'Lançamentos'!C13)</f>
        <v/>
      </c>
      <c r="D21" s="36">
        <f>IF('Lançamentos'!D13="","",'Lançamentos'!D13)</f>
        <v/>
      </c>
      <c r="E21" s="39">
        <f>IF('Lançamentos'!E13="","",'Lançamentos'!E13)</f>
        <v/>
      </c>
      <c r="F21" s="36">
        <f>IF('Lançamentos'!F13="","",'Lançamentos'!F13)</f>
        <v/>
      </c>
      <c r="G21" s="37">
        <f>IF('Lançamentos'!G13="","",'Lançamentos'!G13)</f>
        <v/>
      </c>
    </row>
    <row r="22" ht="19" customHeight="1">
      <c r="A22" s="43">
        <f>IF('Lançamentos'!A14="","",'Lançamentos'!A14)</f>
        <v/>
      </c>
      <c r="B22" s="44">
        <f>IF('Lançamentos'!B14="","",'Lançamentos'!B14)</f>
        <v/>
      </c>
      <c r="C22" s="45">
        <f>IF('Lançamentos'!C14="","",'Lançamentos'!C14)</f>
        <v/>
      </c>
      <c r="D22" s="43">
        <f>IF('Lançamentos'!D14="","",'Lançamentos'!D14)</f>
        <v/>
      </c>
      <c r="E22" s="46">
        <f>IF('Lançamentos'!E14="","",'Lançamentos'!E14)</f>
        <v/>
      </c>
      <c r="F22" s="43">
        <f>IF('Lançamentos'!F14="","",'Lançamentos'!F14)</f>
        <v/>
      </c>
      <c r="G22" s="44">
        <f>IF('Lançamentos'!G14="","",'Lançamentos'!G14)</f>
        <v/>
      </c>
    </row>
    <row r="23" ht="19" customHeight="1">
      <c r="A23" s="36">
        <f>IF('Lançamentos'!A15="","",'Lançamentos'!A15)</f>
        <v/>
      </c>
      <c r="B23" s="37">
        <f>IF('Lançamentos'!B15="","",'Lançamentos'!B15)</f>
        <v/>
      </c>
      <c r="C23" s="38">
        <f>IF('Lançamentos'!C15="","",'Lançamentos'!C15)</f>
        <v/>
      </c>
      <c r="D23" s="36">
        <f>IF('Lançamentos'!D15="","",'Lançamentos'!D15)</f>
        <v/>
      </c>
      <c r="E23" s="39">
        <f>IF('Lançamentos'!E15="","",'Lançamentos'!E15)</f>
        <v/>
      </c>
      <c r="F23" s="36">
        <f>IF('Lançamentos'!F15="","",'Lançamentos'!F15)</f>
        <v/>
      </c>
      <c r="G23" s="37">
        <f>IF('Lançamentos'!G15="","",'Lançamentos'!G15)</f>
        <v/>
      </c>
    </row>
    <row r="24" ht="19" customHeight="1">
      <c r="A24" s="43">
        <f>IF('Lançamentos'!A16="","",'Lançamentos'!A16)</f>
        <v/>
      </c>
      <c r="B24" s="44">
        <f>IF('Lançamentos'!B16="","",'Lançamentos'!B16)</f>
        <v/>
      </c>
      <c r="C24" s="45">
        <f>IF('Lançamentos'!C16="","",'Lançamentos'!C16)</f>
        <v/>
      </c>
      <c r="D24" s="43">
        <f>IF('Lançamentos'!D16="","",'Lançamentos'!D16)</f>
        <v/>
      </c>
      <c r="E24" s="46">
        <f>IF('Lançamentos'!E16="","",'Lançamentos'!E16)</f>
        <v/>
      </c>
      <c r="F24" s="43">
        <f>IF('Lançamentos'!F16="","",'Lançamentos'!F16)</f>
        <v/>
      </c>
      <c r="G24" s="44">
        <f>IF('Lançamentos'!G16="","",'Lançamentos'!G16)</f>
        <v/>
      </c>
    </row>
    <row r="25" ht="19" customHeight="1">
      <c r="A25" s="36">
        <f>IF('Lançamentos'!A17="","",'Lançamentos'!A17)</f>
        <v/>
      </c>
      <c r="B25" s="37">
        <f>IF('Lançamentos'!B17="","",'Lançamentos'!B17)</f>
        <v/>
      </c>
      <c r="C25" s="38">
        <f>IF('Lançamentos'!C17="","",'Lançamentos'!C17)</f>
        <v/>
      </c>
      <c r="D25" s="36">
        <f>IF('Lançamentos'!D17="","",'Lançamentos'!D17)</f>
        <v/>
      </c>
      <c r="E25" s="39">
        <f>IF('Lançamentos'!E17="","",'Lançamentos'!E17)</f>
        <v/>
      </c>
      <c r="F25" s="36">
        <f>IF('Lançamentos'!F17="","",'Lançamentos'!F17)</f>
        <v/>
      </c>
      <c r="G25" s="37">
        <f>IF('Lançamentos'!G17="","",'Lançamentos'!G17)</f>
        <v/>
      </c>
    </row>
    <row r="26" ht="19" customHeight="1">
      <c r="A26" s="43">
        <f>IF('Lançamentos'!A18="","",'Lançamentos'!A18)</f>
        <v/>
      </c>
      <c r="B26" s="44">
        <f>IF('Lançamentos'!B18="","",'Lançamentos'!B18)</f>
        <v/>
      </c>
      <c r="C26" s="45">
        <f>IF('Lançamentos'!C18="","",'Lançamentos'!C18)</f>
        <v/>
      </c>
      <c r="D26" s="43">
        <f>IF('Lançamentos'!D18="","",'Lançamentos'!D18)</f>
        <v/>
      </c>
      <c r="E26" s="46">
        <f>IF('Lançamentos'!E18="","",'Lançamentos'!E18)</f>
        <v/>
      </c>
      <c r="F26" s="43">
        <f>IF('Lançamentos'!F18="","",'Lançamentos'!F18)</f>
        <v/>
      </c>
      <c r="G26" s="44">
        <f>IF('Lançamentos'!G18="","",'Lançamentos'!G18)</f>
        <v/>
      </c>
    </row>
    <row r="27" ht="19" customHeight="1">
      <c r="A27" s="36">
        <f>IF('Lançamentos'!A19="","",'Lançamentos'!A19)</f>
        <v/>
      </c>
      <c r="B27" s="37">
        <f>IF('Lançamentos'!B19="","",'Lançamentos'!B19)</f>
        <v/>
      </c>
      <c r="C27" s="38">
        <f>IF('Lançamentos'!C19="","",'Lançamentos'!C19)</f>
        <v/>
      </c>
      <c r="D27" s="36">
        <f>IF('Lançamentos'!D19="","",'Lançamentos'!D19)</f>
        <v/>
      </c>
      <c r="E27" s="39">
        <f>IF('Lançamentos'!E19="","",'Lançamentos'!E19)</f>
        <v/>
      </c>
      <c r="F27" s="36">
        <f>IF('Lançamentos'!F19="","",'Lançamentos'!F19)</f>
        <v/>
      </c>
      <c r="G27" s="37">
        <f>IF('Lançamentos'!G19="","",'Lançamentos'!G19)</f>
        <v/>
      </c>
    </row>
    <row r="28" ht="19" customHeight="1">
      <c r="A28" s="43">
        <f>IF('Lançamentos'!A20="","",'Lançamentos'!A20)</f>
        <v/>
      </c>
      <c r="B28" s="44">
        <f>IF('Lançamentos'!B20="","",'Lançamentos'!B20)</f>
        <v/>
      </c>
      <c r="C28" s="45">
        <f>IF('Lançamentos'!C20="","",'Lançamentos'!C20)</f>
        <v/>
      </c>
      <c r="D28" s="43">
        <f>IF('Lançamentos'!D20="","",'Lançamentos'!D20)</f>
        <v/>
      </c>
      <c r="E28" s="46">
        <f>IF('Lançamentos'!E20="","",'Lançamentos'!E20)</f>
        <v/>
      </c>
      <c r="F28" s="43">
        <f>IF('Lançamentos'!F20="","",'Lançamentos'!F20)</f>
        <v/>
      </c>
      <c r="G28" s="44">
        <f>IF('Lançamentos'!G20="","",'Lançamentos'!G20)</f>
        <v/>
      </c>
    </row>
    <row r="31" ht="12" customHeight="1"/>
    <row r="32" ht="24" customHeight="1">
      <c r="A32" s="33" t="inlineStr">
        <is>
          <t>Visão Anual - 12 Meses</t>
        </is>
      </c>
    </row>
    <row r="33" ht="20" customHeight="1">
      <c r="A33" s="35" t="inlineStr">
        <is>
          <t>Item</t>
        </is>
      </c>
      <c r="B33" s="35" t="inlineStr">
        <is>
          <t>Jan</t>
        </is>
      </c>
      <c r="C33" s="35" t="inlineStr">
        <is>
          <t>Fev</t>
        </is>
      </c>
      <c r="D33" s="35" t="inlineStr">
        <is>
          <t>Mar</t>
        </is>
      </c>
      <c r="E33" s="35" t="inlineStr">
        <is>
          <t>Abr</t>
        </is>
      </c>
      <c r="F33" s="35" t="inlineStr">
        <is>
          <t>Mai</t>
        </is>
      </c>
      <c r="G33" s="35" t="inlineStr">
        <is>
          <t>Jun</t>
        </is>
      </c>
      <c r="H33" s="35" t="inlineStr">
        <is>
          <t>Jul</t>
        </is>
      </c>
      <c r="I33" s="35" t="inlineStr">
        <is>
          <t>Ago</t>
        </is>
      </c>
      <c r="J33" s="35" t="inlineStr">
        <is>
          <t>Set</t>
        </is>
      </c>
      <c r="K33" s="35" t="inlineStr">
        <is>
          <t>Out</t>
        </is>
      </c>
      <c r="L33" s="35" t="inlineStr">
        <is>
          <t>Nov</t>
        </is>
      </c>
      <c r="M33" s="35" t="inlineStr">
        <is>
          <t>Dez</t>
        </is>
      </c>
      <c r="N33" s="35" t="inlineStr">
        <is>
          <t>Total Anual</t>
        </is>
      </c>
    </row>
    <row r="34" ht="20" customHeight="1">
      <c r="A34" s="59" t="inlineStr">
        <is>
          <t>Receitas</t>
        </is>
      </c>
      <c r="B34" s="41">
        <f>SUMIFS('Lançamentos'!$E$3:$E$500, 'Lançamentos'!$D$3:$D$500, "Receita", 'Lançamentos'!$F$3:$F$500, B$33)</f>
        <v/>
      </c>
      <c r="C34" s="41">
        <f>SUMIFS('Lançamentos'!$E$3:$E$500, 'Lançamentos'!$D$3:$D$500, "Receita", 'Lançamentos'!$F$3:$F$500, C$33)</f>
        <v/>
      </c>
      <c r="D34" s="41">
        <f>SUMIFS('Lançamentos'!$E$3:$E$500, 'Lançamentos'!$D$3:$D$500, "Receita", 'Lançamentos'!$F$3:$F$500, D$33)</f>
        <v/>
      </c>
      <c r="E34" s="41">
        <f>SUMIFS('Lançamentos'!$E$3:$E$500, 'Lançamentos'!$D$3:$D$500, "Receita", 'Lançamentos'!$F$3:$F$500, E$33)</f>
        <v/>
      </c>
      <c r="F34" s="41">
        <f>SUMIFS('Lançamentos'!$E$3:$E$500, 'Lançamentos'!$D$3:$D$500, "Receita", 'Lançamentos'!$F$3:$F$500, F$33)</f>
        <v/>
      </c>
      <c r="G34" s="41">
        <f>SUMIFS('Lançamentos'!$E$3:$E$500, 'Lançamentos'!$D$3:$D$500, "Receita", 'Lançamentos'!$F$3:$F$500, G$33)</f>
        <v/>
      </c>
      <c r="H34" s="41">
        <f>SUMIFS('Lançamentos'!$E$3:$E$500, 'Lançamentos'!$D$3:$D$500, "Receita", 'Lançamentos'!$F$3:$F$500, H$33)</f>
        <v/>
      </c>
      <c r="I34" s="41">
        <f>SUMIFS('Lançamentos'!$E$3:$E$500, 'Lançamentos'!$D$3:$D$500, "Receita", 'Lançamentos'!$F$3:$F$500, I$33)</f>
        <v/>
      </c>
      <c r="J34" s="41">
        <f>SUMIFS('Lançamentos'!$E$3:$E$500, 'Lançamentos'!$D$3:$D$500, "Receita", 'Lançamentos'!$F$3:$F$500, J$33)</f>
        <v/>
      </c>
      <c r="K34" s="41">
        <f>SUMIFS('Lançamentos'!$E$3:$E$500, 'Lançamentos'!$D$3:$D$500, "Receita", 'Lançamentos'!$F$3:$F$500, K$33)</f>
        <v/>
      </c>
      <c r="L34" s="41">
        <f>SUMIFS('Lançamentos'!$E$3:$E$500, 'Lançamentos'!$D$3:$D$500, "Receita", 'Lançamentos'!$F$3:$F$500, L$33)</f>
        <v/>
      </c>
      <c r="M34" s="41">
        <f>SUMIFS('Lançamentos'!$E$3:$E$500, 'Lançamentos'!$D$3:$D$500, "Receita", 'Lançamentos'!$F$3:$F$500, M$33)</f>
        <v/>
      </c>
      <c r="N34" s="60">
        <f>SUM(B34:M34)</f>
        <v/>
      </c>
    </row>
    <row r="35" ht="20" customHeight="1">
      <c r="A35" s="61" t="inlineStr">
        <is>
          <t>Despesas</t>
        </is>
      </c>
      <c r="B35" s="48">
        <f>SUMIFS('Lançamentos'!$E$3:$E$500, 'Lançamentos'!$D$3:$D$500, "Despesa", 'Lançamentos'!$F$3:$F$500, B$33)</f>
        <v/>
      </c>
      <c r="C35" s="48">
        <f>SUMIFS('Lançamentos'!$E$3:$E$500, 'Lançamentos'!$D$3:$D$500, "Despesa", 'Lançamentos'!$F$3:$F$500, C$33)</f>
        <v/>
      </c>
      <c r="D35" s="48">
        <f>SUMIFS('Lançamentos'!$E$3:$E$500, 'Lançamentos'!$D$3:$D$500, "Despesa", 'Lançamentos'!$F$3:$F$500, D$33)</f>
        <v/>
      </c>
      <c r="E35" s="48">
        <f>SUMIFS('Lançamentos'!$E$3:$E$500, 'Lançamentos'!$D$3:$D$500, "Despesa", 'Lançamentos'!$F$3:$F$500, E$33)</f>
        <v/>
      </c>
      <c r="F35" s="48">
        <f>SUMIFS('Lançamentos'!$E$3:$E$500, 'Lançamentos'!$D$3:$D$500, "Despesa", 'Lançamentos'!$F$3:$F$500, F$33)</f>
        <v/>
      </c>
      <c r="G35" s="48">
        <f>SUMIFS('Lançamentos'!$E$3:$E$500, 'Lançamentos'!$D$3:$D$500, "Despesa", 'Lançamentos'!$F$3:$F$500, G$33)</f>
        <v/>
      </c>
      <c r="H35" s="48">
        <f>SUMIFS('Lançamentos'!$E$3:$E$500, 'Lançamentos'!$D$3:$D$500, "Despesa", 'Lançamentos'!$F$3:$F$500, H$33)</f>
        <v/>
      </c>
      <c r="I35" s="48">
        <f>SUMIFS('Lançamentos'!$E$3:$E$500, 'Lançamentos'!$D$3:$D$500, "Despesa", 'Lançamentos'!$F$3:$F$500, I$33)</f>
        <v/>
      </c>
      <c r="J35" s="48">
        <f>SUMIFS('Lançamentos'!$E$3:$E$500, 'Lançamentos'!$D$3:$D$500, "Despesa", 'Lançamentos'!$F$3:$F$500, J$33)</f>
        <v/>
      </c>
      <c r="K35" s="48">
        <f>SUMIFS('Lançamentos'!$E$3:$E$500, 'Lançamentos'!$D$3:$D$500, "Despesa", 'Lançamentos'!$F$3:$F$500, K$33)</f>
        <v/>
      </c>
      <c r="L35" s="48">
        <f>SUMIFS('Lançamentos'!$E$3:$E$500, 'Lançamentos'!$D$3:$D$500, "Despesa", 'Lançamentos'!$F$3:$F$500, L$33)</f>
        <v/>
      </c>
      <c r="M35" s="48">
        <f>SUMIFS('Lançamentos'!$E$3:$E$500, 'Lançamentos'!$D$3:$D$500, "Despesa", 'Lançamentos'!$F$3:$F$500, M$33)</f>
        <v/>
      </c>
      <c r="N35" s="62">
        <f>SUM(B35:M35)</f>
        <v/>
      </c>
    </row>
    <row r="36" ht="20" customHeight="1">
      <c r="A36" s="63" t="inlineStr">
        <is>
          <t>Saldo do Mês</t>
        </is>
      </c>
      <c r="B36" s="39">
        <f>B34-B35</f>
        <v/>
      </c>
      <c r="C36" s="39">
        <f>C34-C35</f>
        <v/>
      </c>
      <c r="D36" s="39">
        <f>D34-D35</f>
        <v/>
      </c>
      <c r="E36" s="39">
        <f>E34-E35</f>
        <v/>
      </c>
      <c r="F36" s="39">
        <f>F34-F35</f>
        <v/>
      </c>
      <c r="G36" s="39">
        <f>G34-G35</f>
        <v/>
      </c>
      <c r="H36" s="39">
        <f>H34-H35</f>
        <v/>
      </c>
      <c r="I36" s="39">
        <f>I34-I35</f>
        <v/>
      </c>
      <c r="J36" s="39">
        <f>J34-J35</f>
        <v/>
      </c>
      <c r="K36" s="39">
        <f>K34-K35</f>
        <v/>
      </c>
      <c r="L36" s="39">
        <f>L34-L35</f>
        <v/>
      </c>
      <c r="M36" s="39">
        <f>M34-M35</f>
        <v/>
      </c>
      <c r="N36" s="64">
        <f>N34-N35</f>
        <v/>
      </c>
    </row>
    <row r="37" ht="20" customHeight="1">
      <c r="A37" s="65" t="inlineStr">
        <is>
          <t>Reserva do Mês</t>
        </is>
      </c>
      <c r="B37" s="48">
        <f>SUMIFS('Lançamentos'!$E$3:$E$500, 'Lançamentos'!$C$3:$C$500, "Reserva", 'Lançamentos'!$F$3:$F$500, B$33)</f>
        <v/>
      </c>
      <c r="C37" s="48">
        <f>SUMIFS('Lançamentos'!$E$3:$E$500, 'Lançamentos'!$C$3:$C$500, "Reserva", 'Lançamentos'!$F$3:$F$500, C$33)</f>
        <v/>
      </c>
      <c r="D37" s="48">
        <f>SUMIFS('Lançamentos'!$E$3:$E$500, 'Lançamentos'!$C$3:$C$500, "Reserva", 'Lançamentos'!$F$3:$F$500, D$33)</f>
        <v/>
      </c>
      <c r="E37" s="48">
        <f>SUMIFS('Lançamentos'!$E$3:$E$500, 'Lançamentos'!$C$3:$C$500, "Reserva", 'Lançamentos'!$F$3:$F$500, E$33)</f>
        <v/>
      </c>
      <c r="F37" s="48">
        <f>SUMIFS('Lançamentos'!$E$3:$E$500, 'Lançamentos'!$C$3:$C$500, "Reserva", 'Lançamentos'!$F$3:$F$500, F$33)</f>
        <v/>
      </c>
      <c r="G37" s="48">
        <f>SUMIFS('Lançamentos'!$E$3:$E$500, 'Lançamentos'!$C$3:$C$500, "Reserva", 'Lançamentos'!$F$3:$F$500, G$33)</f>
        <v/>
      </c>
      <c r="H37" s="48">
        <f>SUMIFS('Lançamentos'!$E$3:$E$500, 'Lançamentos'!$C$3:$C$500, "Reserva", 'Lançamentos'!$F$3:$F$500, H$33)</f>
        <v/>
      </c>
      <c r="I37" s="48">
        <f>SUMIFS('Lançamentos'!$E$3:$E$500, 'Lançamentos'!$C$3:$C$500, "Reserva", 'Lançamentos'!$F$3:$F$500, I$33)</f>
        <v/>
      </c>
      <c r="J37" s="48">
        <f>SUMIFS('Lançamentos'!$E$3:$E$500, 'Lançamentos'!$C$3:$C$500, "Reserva", 'Lançamentos'!$F$3:$F$500, J$33)</f>
        <v/>
      </c>
      <c r="K37" s="48">
        <f>SUMIFS('Lançamentos'!$E$3:$E$500, 'Lançamentos'!$C$3:$C$500, "Reserva", 'Lançamentos'!$F$3:$F$500, K$33)</f>
        <v/>
      </c>
      <c r="L37" s="48">
        <f>SUMIFS('Lançamentos'!$E$3:$E$500, 'Lançamentos'!$C$3:$C$500, "Reserva", 'Lançamentos'!$F$3:$F$500, L$33)</f>
        <v/>
      </c>
      <c r="M37" s="48">
        <f>SUMIFS('Lançamentos'!$E$3:$E$500, 'Lançamentos'!$C$3:$C$500, "Reserva", 'Lançamentos'!$F$3:$F$500, M$33)</f>
        <v/>
      </c>
      <c r="N37" s="66">
        <f>SUM(B37:M37)</f>
        <v/>
      </c>
    </row>
  </sheetData>
  <mergeCells count="27">
    <mergeCell ref="A5:B6"/>
    <mergeCell ref="G5:H6"/>
    <mergeCell ref="K5:L5"/>
    <mergeCell ref="I5:J6"/>
    <mergeCell ref="A1:K1"/>
    <mergeCell ref="C4:D4"/>
    <mergeCell ref="E4:F4"/>
    <mergeCell ref="A7:B7"/>
    <mergeCell ref="G7:H7"/>
    <mergeCell ref="A9:G9"/>
    <mergeCell ref="I7:J7"/>
    <mergeCell ref="M7:N7"/>
    <mergeCell ref="I9:K9"/>
    <mergeCell ref="L1:M1"/>
    <mergeCell ref="C5:D6"/>
    <mergeCell ref="K6:L6"/>
    <mergeCell ref="E5:F6"/>
    <mergeCell ref="M5:N6"/>
    <mergeCell ref="A32:N32"/>
    <mergeCell ref="A4:B4"/>
    <mergeCell ref="G4:H4"/>
    <mergeCell ref="K7:L7"/>
    <mergeCell ref="I4:J4"/>
    <mergeCell ref="C7:D7"/>
    <mergeCell ref="E7:F7"/>
    <mergeCell ref="K4:L4"/>
    <mergeCell ref="M4:N4"/>
  </mergeCells>
  <dataValidations count="1">
    <dataValidation sqref="N1" showDropDown="0" showInputMessage="0" showErrorMessage="0" allowBlank="0" type="list">
      <formula1>'Configurações'!$G$2:$G$14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22" customWidth="1" min="3" max="3"/>
    <col width="4" customWidth="1" min="4" max="4"/>
    <col width="12" customWidth="1" min="5" max="5"/>
    <col width="4" customWidth="1" min="6" max="6"/>
    <col width="14" customWidth="1" min="7" max="7"/>
    <col width="4" customWidth="1" min="8" max="8"/>
    <col width="28" customWidth="1" min="9" max="9"/>
    <col width="14" customWidth="1" min="10" max="10"/>
  </cols>
  <sheetData>
    <row r="1">
      <c r="A1" s="34" t="inlineStr">
        <is>
          <t>Tipos de Lançamento</t>
        </is>
      </c>
      <c r="C1" s="34" t="inlineStr">
        <is>
          <t>Categorias</t>
        </is>
      </c>
      <c r="E1" s="34" t="inlineStr">
        <is>
          <t>Meses</t>
        </is>
      </c>
      <c r="G1" s="34" t="inlineStr">
        <is>
          <t>Filtro Mês</t>
        </is>
      </c>
      <c r="I1" s="67" t="inlineStr">
        <is>
          <t>Parâmetro</t>
        </is>
      </c>
      <c r="J1" s="67" t="inlineStr">
        <is>
          <t>Valor</t>
        </is>
      </c>
    </row>
    <row r="2">
      <c r="A2" s="68" t="inlineStr">
        <is>
          <t>Receita</t>
        </is>
      </c>
      <c r="C2" s="69" t="inlineStr">
        <is>
          <t>Salário</t>
        </is>
      </c>
      <c r="E2" s="68" t="inlineStr">
        <is>
          <t>Jan</t>
        </is>
      </c>
      <c r="G2" s="68" t="inlineStr">
        <is>
          <t>Todos</t>
        </is>
      </c>
      <c r="I2" s="69" t="inlineStr">
        <is>
          <t>Meta Reserva (% Receitas)</t>
        </is>
      </c>
      <c r="J2" s="70" t="n">
        <v>0.2</v>
      </c>
    </row>
    <row r="3">
      <c r="A3" s="68" t="inlineStr">
        <is>
          <t>Despesa</t>
        </is>
      </c>
      <c r="C3" s="69" t="inlineStr">
        <is>
          <t>Rendas Extras</t>
        </is>
      </c>
      <c r="E3" s="68" t="inlineStr">
        <is>
          <t>Fev</t>
        </is>
      </c>
      <c r="G3" s="68" t="inlineStr">
        <is>
          <t>Jan</t>
        </is>
      </c>
    </row>
    <row r="4">
      <c r="C4" s="69" t="inlineStr">
        <is>
          <t>Moradia</t>
        </is>
      </c>
      <c r="E4" s="68" t="inlineStr">
        <is>
          <t>Mar</t>
        </is>
      </c>
      <c r="G4" s="68" t="inlineStr">
        <is>
          <t>Fev</t>
        </is>
      </c>
    </row>
    <row r="5">
      <c r="C5" s="69" t="inlineStr">
        <is>
          <t>Alimentação</t>
        </is>
      </c>
      <c r="E5" s="68" t="inlineStr">
        <is>
          <t>Abr</t>
        </is>
      </c>
      <c r="G5" s="68" t="inlineStr">
        <is>
          <t>Mar</t>
        </is>
      </c>
    </row>
    <row r="6">
      <c r="C6" s="69" t="inlineStr">
        <is>
          <t>Transporte</t>
        </is>
      </c>
      <c r="E6" s="68" t="inlineStr">
        <is>
          <t>Mai</t>
        </is>
      </c>
      <c r="G6" s="68" t="inlineStr">
        <is>
          <t>Abr</t>
        </is>
      </c>
    </row>
    <row r="7">
      <c r="C7" s="69" t="inlineStr">
        <is>
          <t>Estudos</t>
        </is>
      </c>
      <c r="E7" s="68" t="inlineStr">
        <is>
          <t>Jun</t>
        </is>
      </c>
      <c r="G7" s="68" t="inlineStr">
        <is>
          <t>Mai</t>
        </is>
      </c>
    </row>
    <row r="8">
      <c r="C8" s="69" t="inlineStr">
        <is>
          <t>Saúde</t>
        </is>
      </c>
      <c r="E8" s="68" t="inlineStr">
        <is>
          <t>Jul</t>
        </is>
      </c>
      <c r="G8" s="68" t="inlineStr">
        <is>
          <t>Jun</t>
        </is>
      </c>
    </row>
    <row r="9">
      <c r="C9" s="69" t="inlineStr">
        <is>
          <t>Lazer</t>
        </is>
      </c>
      <c r="E9" s="68" t="inlineStr">
        <is>
          <t>Ago</t>
        </is>
      </c>
      <c r="G9" s="68" t="inlineStr">
        <is>
          <t>Jul</t>
        </is>
      </c>
    </row>
    <row r="10">
      <c r="C10" s="69" t="inlineStr">
        <is>
          <t>Reserva</t>
        </is>
      </c>
      <c r="E10" s="68" t="inlineStr">
        <is>
          <t>Set</t>
        </is>
      </c>
      <c r="G10" s="68" t="inlineStr">
        <is>
          <t>Ago</t>
        </is>
      </c>
    </row>
    <row r="11">
      <c r="C11" s="69" t="inlineStr">
        <is>
          <t>Outras Despesas</t>
        </is>
      </c>
      <c r="E11" s="68" t="inlineStr">
        <is>
          <t>Out</t>
        </is>
      </c>
      <c r="G11" s="68" t="inlineStr">
        <is>
          <t>Set</t>
        </is>
      </c>
    </row>
    <row r="12">
      <c r="E12" s="68" t="inlineStr">
        <is>
          <t>Nov</t>
        </is>
      </c>
      <c r="G12" s="68" t="inlineStr">
        <is>
          <t>Out</t>
        </is>
      </c>
    </row>
    <row r="13">
      <c r="E13" s="68" t="inlineStr">
        <is>
          <t>Dez</t>
        </is>
      </c>
      <c r="G13" s="68" t="inlineStr">
        <is>
          <t>Nov</t>
        </is>
      </c>
    </row>
    <row r="14">
      <c r="G14" s="68" t="inlineStr">
        <is>
          <t>Dez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2" customWidth="1" min="4" max="4"/>
    <col width="16" customWidth="1" min="5" max="5"/>
    <col width="10" customWidth="1" min="6" max="6"/>
    <col width="30" customWidth="1" min="7" max="7"/>
  </cols>
  <sheetData>
    <row r="1" ht="30" customHeight="1">
      <c r="A1" s="71" t="inlineStr">
        <is>
          <t>Base de Lançamentos Financeiros</t>
        </is>
      </c>
    </row>
    <row r="2" ht="24" customHeight="1">
      <c r="A2" s="72" t="inlineStr">
        <is>
          <t>Data</t>
        </is>
      </c>
      <c r="B2" s="72" t="inlineStr">
        <is>
          <t>Descrição</t>
        </is>
      </c>
      <c r="C2" s="72" t="inlineStr">
        <is>
          <t>Categoria</t>
        </is>
      </c>
      <c r="D2" s="72" t="inlineStr">
        <is>
          <t>Tipo</t>
        </is>
      </c>
      <c r="E2" s="72" t="inlineStr">
        <is>
          <t>Valor (R$)</t>
        </is>
      </c>
      <c r="F2" s="72" t="inlineStr">
        <is>
          <t>Mês</t>
        </is>
      </c>
      <c r="G2" s="72" t="inlineStr">
        <is>
          <t>Observações</t>
        </is>
      </c>
    </row>
    <row r="3" ht="20" customHeight="1">
      <c r="A3" s="36" t="inlineStr">
        <is>
          <t>05/01/2025</t>
        </is>
      </c>
      <c r="B3" s="37" t="inlineStr">
        <is>
          <t>Salário - Empresa XPTO</t>
        </is>
      </c>
      <c r="C3" s="73" t="inlineStr">
        <is>
          <t>Salário</t>
        </is>
      </c>
      <c r="D3" s="74" t="inlineStr">
        <is>
          <t>Receita</t>
        </is>
      </c>
      <c r="E3" s="39" t="n">
        <v>4250</v>
      </c>
      <c r="F3" s="36" t="inlineStr">
        <is>
          <t>Jan</t>
        </is>
      </c>
      <c r="G3" s="37" t="inlineStr">
        <is>
          <t>Salário líquido</t>
        </is>
      </c>
    </row>
    <row r="4" ht="20" customHeight="1">
      <c r="A4" s="43" t="inlineStr">
        <is>
          <t>10/01/2025</t>
        </is>
      </c>
      <c r="B4" s="44" t="inlineStr">
        <is>
          <t>Freelance - Consultoria RH</t>
        </is>
      </c>
      <c r="C4" s="75" t="inlineStr">
        <is>
          <t>Rendas Extras</t>
        </is>
      </c>
      <c r="D4" s="76" t="inlineStr">
        <is>
          <t>Receita</t>
        </is>
      </c>
      <c r="E4" s="46" t="n">
        <v>600</v>
      </c>
      <c r="F4" s="43" t="inlineStr">
        <is>
          <t>Jan</t>
        </is>
      </c>
      <c r="G4" s="44" t="inlineStr">
        <is>
          <t>Projeto de 5 dias</t>
        </is>
      </c>
    </row>
    <row r="5" ht="20" customHeight="1">
      <c r="A5" s="36" t="inlineStr">
        <is>
          <t>12/01/2025</t>
        </is>
      </c>
      <c r="B5" s="37" t="inlineStr">
        <is>
          <t>Aluguel</t>
        </is>
      </c>
      <c r="C5" s="77" t="inlineStr">
        <is>
          <t>Moradia</t>
        </is>
      </c>
      <c r="D5" s="78" t="inlineStr">
        <is>
          <t>Despesa</t>
        </is>
      </c>
      <c r="E5" s="39" t="n">
        <v>1200</v>
      </c>
      <c r="F5" s="36" t="inlineStr">
        <is>
          <t>Jan</t>
        </is>
      </c>
      <c r="G5" s="37" t="inlineStr">
        <is>
          <t>Apartamento</t>
        </is>
      </c>
    </row>
    <row r="6" ht="20" customHeight="1">
      <c r="A6" s="43" t="inlineStr">
        <is>
          <t>15/01/2025</t>
        </is>
      </c>
      <c r="B6" s="44" t="inlineStr">
        <is>
          <t>Supermercado Extra</t>
        </is>
      </c>
      <c r="C6" s="79" t="inlineStr">
        <is>
          <t>Alimentação</t>
        </is>
      </c>
      <c r="D6" s="80" t="inlineStr">
        <is>
          <t>Despesa</t>
        </is>
      </c>
      <c r="E6" s="46" t="n">
        <v>320.4</v>
      </c>
      <c r="F6" s="43" t="inlineStr">
        <is>
          <t>Jan</t>
        </is>
      </c>
      <c r="G6" s="44" t="inlineStr">
        <is>
          <t>Compras do mês</t>
        </is>
      </c>
    </row>
    <row r="7" ht="20" customHeight="1">
      <c r="A7" s="36" t="inlineStr">
        <is>
          <t>18/01/2025</t>
        </is>
      </c>
      <c r="B7" s="37" t="inlineStr">
        <is>
          <t>Uber / 99</t>
        </is>
      </c>
      <c r="C7" s="81" t="inlineStr">
        <is>
          <t>Transporte</t>
        </is>
      </c>
      <c r="D7" s="78" t="inlineStr">
        <is>
          <t>Despesa</t>
        </is>
      </c>
      <c r="E7" s="39" t="n">
        <v>87.59999999999999</v>
      </c>
      <c r="F7" s="36" t="inlineStr">
        <is>
          <t>Jan</t>
        </is>
      </c>
      <c r="G7" s="37" t="inlineStr">
        <is>
          <t>Deslocamentos</t>
        </is>
      </c>
    </row>
    <row r="8" ht="20" customHeight="1">
      <c r="A8" s="43" t="inlineStr">
        <is>
          <t>22/01/2025</t>
        </is>
      </c>
      <c r="B8" s="44" t="inlineStr">
        <is>
          <t>Curso Online - Finanças</t>
        </is>
      </c>
      <c r="C8" s="82" t="inlineStr">
        <is>
          <t>Estudos</t>
        </is>
      </c>
      <c r="D8" s="80" t="inlineStr">
        <is>
          <t>Despesa</t>
        </is>
      </c>
      <c r="E8" s="46" t="n">
        <v>197</v>
      </c>
      <c r="F8" s="43" t="inlineStr">
        <is>
          <t>Jan</t>
        </is>
      </c>
      <c r="G8" s="44" t="inlineStr">
        <is>
          <t>Plataforma Alura</t>
        </is>
      </c>
    </row>
    <row r="9" ht="20" customHeight="1">
      <c r="A9" s="36" t="inlineStr">
        <is>
          <t>25/01/2025</t>
        </is>
      </c>
      <c r="B9" s="37" t="inlineStr">
        <is>
          <t>Livro - Pai Rico, Pai Pobre</t>
        </is>
      </c>
      <c r="C9" s="82" t="inlineStr">
        <is>
          <t>Estudos</t>
        </is>
      </c>
      <c r="D9" s="78" t="inlineStr">
        <is>
          <t>Despesa</t>
        </is>
      </c>
      <c r="E9" s="39" t="n">
        <v>39.9</v>
      </c>
      <c r="F9" s="36" t="inlineStr">
        <is>
          <t>Jan</t>
        </is>
      </c>
      <c r="G9" s="37" t="inlineStr">
        <is>
          <t>Compra na Amazon</t>
        </is>
      </c>
    </row>
    <row r="10" ht="20" customHeight="1">
      <c r="A10" s="43" t="inlineStr">
        <is>
          <t>05/02/2025</t>
        </is>
      </c>
      <c r="B10" s="44" t="inlineStr">
        <is>
          <t>Salário - Empresa XPTO</t>
        </is>
      </c>
      <c r="C10" s="73" t="inlineStr">
        <is>
          <t>Salário</t>
        </is>
      </c>
      <c r="D10" s="76" t="inlineStr">
        <is>
          <t>Receita</t>
        </is>
      </c>
      <c r="E10" s="46" t="n">
        <v>4250</v>
      </c>
      <c r="F10" s="43" t="inlineStr">
        <is>
          <t>Fev</t>
        </is>
      </c>
      <c r="G10" s="44" t="inlineStr">
        <is>
          <t>Salário líquido</t>
        </is>
      </c>
    </row>
    <row r="11" ht="20" customHeight="1">
      <c r="A11" s="36" t="inlineStr">
        <is>
          <t>10/02/2025</t>
        </is>
      </c>
      <c r="B11" s="37" t="inlineStr">
        <is>
          <t>Freelance - Análise Planilhas</t>
        </is>
      </c>
      <c r="C11" s="75" t="inlineStr">
        <is>
          <t>Rendas Extras</t>
        </is>
      </c>
      <c r="D11" s="74" t="inlineStr">
        <is>
          <t>Receita</t>
        </is>
      </c>
      <c r="E11" s="39" t="n">
        <v>250</v>
      </c>
      <c r="F11" s="36" t="inlineStr">
        <is>
          <t>Fev</t>
        </is>
      </c>
      <c r="G11" s="37" t="inlineStr">
        <is>
          <t>Entrega de planilhas</t>
        </is>
      </c>
    </row>
    <row r="12" ht="20" customHeight="1">
      <c r="A12" s="43" t="inlineStr">
        <is>
          <t>12/02/2025</t>
        </is>
      </c>
      <c r="B12" s="44" t="inlineStr">
        <is>
          <t>Academia Smart Fit</t>
        </is>
      </c>
      <c r="C12" s="83" t="inlineStr">
        <is>
          <t>Saúde</t>
        </is>
      </c>
      <c r="D12" s="80" t="inlineStr">
        <is>
          <t>Despesa</t>
        </is>
      </c>
      <c r="E12" s="46" t="n">
        <v>129.9</v>
      </c>
      <c r="F12" s="43" t="inlineStr">
        <is>
          <t>Fev</t>
        </is>
      </c>
      <c r="G12" s="44" t="inlineStr">
        <is>
          <t>Mensalidade</t>
        </is>
      </c>
    </row>
    <row r="13" ht="20" customHeight="1">
      <c r="A13" s="36" t="inlineStr">
        <is>
          <t>14/02/2025</t>
        </is>
      </c>
      <c r="B13" s="37" t="inlineStr">
        <is>
          <t>Cinema - Final de Semana</t>
        </is>
      </c>
      <c r="C13" s="84" t="inlineStr">
        <is>
          <t>Lazer</t>
        </is>
      </c>
      <c r="D13" s="78" t="inlineStr">
        <is>
          <t>Despesa</t>
        </is>
      </c>
      <c r="E13" s="39" t="n">
        <v>78</v>
      </c>
      <c r="F13" s="36" t="inlineStr">
        <is>
          <t>Fev</t>
        </is>
      </c>
      <c r="G13" s="37" t="inlineStr">
        <is>
          <t>Ingressos + pipoca</t>
        </is>
      </c>
    </row>
    <row r="14" ht="20" customHeight="1">
      <c r="A14" s="43" t="inlineStr">
        <is>
          <t>20/02/2025</t>
        </is>
      </c>
      <c r="B14" s="44" t="inlineStr">
        <is>
          <t>Transferência para Reserva</t>
        </is>
      </c>
      <c r="C14" s="85" t="inlineStr">
        <is>
          <t>Reserva</t>
        </is>
      </c>
      <c r="D14" s="80" t="inlineStr">
        <is>
          <t>Despesa</t>
        </is>
      </c>
      <c r="E14" s="46" t="n">
        <v>500</v>
      </c>
      <c r="F14" s="43" t="inlineStr">
        <is>
          <t>Fev</t>
        </is>
      </c>
      <c r="G14" s="44" t="inlineStr">
        <is>
          <t>Aplicação Nubank</t>
        </is>
      </c>
    </row>
    <row r="15" ht="20" customHeight="1">
      <c r="A15" s="36" t="inlineStr">
        <is>
          <t>25/02/2025</t>
        </is>
      </c>
      <c r="B15" s="37" t="inlineStr">
        <is>
          <t>Mensalidade - Faculdade</t>
        </is>
      </c>
      <c r="C15" s="82" t="inlineStr">
        <is>
          <t>Estudos</t>
        </is>
      </c>
      <c r="D15" s="78" t="inlineStr">
        <is>
          <t>Despesa</t>
        </is>
      </c>
      <c r="E15" s="39" t="n">
        <v>375.9</v>
      </c>
      <c r="F15" s="36" t="inlineStr">
        <is>
          <t>Fev</t>
        </is>
      </c>
      <c r="G15" s="37" t="inlineStr">
        <is>
          <t>2ª parcela</t>
        </is>
      </c>
    </row>
    <row r="16" ht="20" customHeight="1">
      <c r="A16" s="43" t="inlineStr">
        <is>
          <t>05/03/2025</t>
        </is>
      </c>
      <c r="B16" s="44" t="inlineStr">
        <is>
          <t>Salário - Empresa XPTO</t>
        </is>
      </c>
      <c r="C16" s="73" t="inlineStr">
        <is>
          <t>Salário</t>
        </is>
      </c>
      <c r="D16" s="76" t="inlineStr">
        <is>
          <t>Receita</t>
        </is>
      </c>
      <c r="E16" s="46" t="n">
        <v>4250</v>
      </c>
      <c r="F16" s="43" t="inlineStr">
        <is>
          <t>Mar</t>
        </is>
      </c>
      <c r="G16" s="44" t="inlineStr">
        <is>
          <t>Salário líquido</t>
        </is>
      </c>
    </row>
    <row r="17" ht="20" customHeight="1">
      <c r="A17" s="36" t="inlineStr">
        <is>
          <t>10/03/2025</t>
        </is>
      </c>
      <c r="B17" s="37" t="inlineStr">
        <is>
          <t>Freelance - Dashboard Excel</t>
        </is>
      </c>
      <c r="C17" s="75" t="inlineStr">
        <is>
          <t>Rendas Extras</t>
        </is>
      </c>
      <c r="D17" s="74" t="inlineStr">
        <is>
          <t>Receita</t>
        </is>
      </c>
      <c r="E17" s="39" t="n">
        <v>300</v>
      </c>
      <c r="F17" s="36" t="inlineStr">
        <is>
          <t>Mar</t>
        </is>
      </c>
      <c r="G17" s="37" t="inlineStr">
        <is>
          <t>Dashboard interativo</t>
        </is>
      </c>
    </row>
    <row r="18" ht="20" customHeight="1">
      <c r="A18" s="43" t="inlineStr">
        <is>
          <t>15/03/2025</t>
        </is>
      </c>
      <c r="B18" s="44" t="inlineStr">
        <is>
          <t>Despesas Diversas / Farmácia</t>
        </is>
      </c>
      <c r="C18" s="86" t="inlineStr">
        <is>
          <t>Outras Despesas</t>
        </is>
      </c>
      <c r="D18" s="80" t="inlineStr">
        <is>
          <t>Despesa</t>
        </is>
      </c>
      <c r="E18" s="46" t="n">
        <v>286.7</v>
      </c>
      <c r="F18" s="43" t="inlineStr">
        <is>
          <t>Mar</t>
        </is>
      </c>
      <c r="G18" s="44" t="inlineStr">
        <is>
          <t>Despesas pontuais</t>
        </is>
      </c>
    </row>
    <row r="19" ht="20" customHeight="1">
      <c r="A19" s="36" t="inlineStr">
        <is>
          <t>20/01/2025</t>
        </is>
      </c>
      <c r="B19" s="37" t="inlineStr">
        <is>
          <t>Aporte Reserva Emergência</t>
        </is>
      </c>
      <c r="C19" s="85" t="inlineStr">
        <is>
          <t>Reserva</t>
        </is>
      </c>
      <c r="D19" s="78" t="inlineStr">
        <is>
          <t>Despesa</t>
        </is>
      </c>
      <c r="E19" s="39" t="n">
        <v>350</v>
      </c>
      <c r="F19" s="36" t="inlineStr">
        <is>
          <t>Jan</t>
        </is>
      </c>
      <c r="G19" s="37" t="inlineStr">
        <is>
          <t>Aplicação CDB</t>
        </is>
      </c>
    </row>
    <row r="20" ht="20" customHeight="1">
      <c r="A20" s="43" t="inlineStr">
        <is>
          <t>02/01/2025</t>
        </is>
      </c>
      <c r="B20" s="44" t="inlineStr">
        <is>
          <t>Saldo Anterior Reserva</t>
        </is>
      </c>
      <c r="C20" s="85" t="inlineStr">
        <is>
          <t>Reserva</t>
        </is>
      </c>
      <c r="D20" s="80" t="inlineStr">
        <is>
          <t>Despesa</t>
        </is>
      </c>
      <c r="E20" s="46" t="n">
        <v>1500</v>
      </c>
      <c r="F20" s="43" t="inlineStr">
        <is>
          <t>Jan</t>
        </is>
      </c>
      <c r="G20" s="44" t="inlineStr">
        <is>
          <t>Reserva de emergência acumulada</t>
        </is>
      </c>
    </row>
  </sheetData>
  <autoFilter ref="A2:G20"/>
  <mergeCells count="1">
    <mergeCell ref="A1:G1"/>
  </mergeCells>
  <dataValidations count="3">
    <dataValidation sqref="D3:D500" showDropDown="0" showInputMessage="0" showErrorMessage="0" allowBlank="1" type="list">
      <formula1>'Configurações'!$A$2:$A$3</formula1>
    </dataValidation>
    <dataValidation sqref="C3:C500" showDropDown="0" showInputMessage="0" showErrorMessage="0" allowBlank="1" type="list">
      <formula1>'Configurações'!$C$2:$C$11</formula1>
    </dataValidation>
    <dataValidation sqref="F3:F500" showDropDown="0" showInputMessage="0" showErrorMessage="0" allowBlank="1" type="list">
      <formula1>'Configurações'!$E$2:$E$13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2026-09-17T11:38:51Z</dcterms:created>
  <dcterms:modified xsi:type="dcterms:W3CDTF">2026-09-17T11:38:51Z</dcterms:modified>
</cp:coreProperties>
</file>